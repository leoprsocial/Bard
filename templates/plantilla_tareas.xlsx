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areas" state="visible" r:id="rId4"/>
    <sheet sheetId="2" name="Resumen" state="visible" r:id="rId5"/>
  </sheets>
  <calcPr calcId="171027"/>
</workbook>
</file>

<file path=xl/sharedStrings.xml><?xml version="1.0" encoding="utf-8"?>
<sst xmlns="http://schemas.openxmlformats.org/spreadsheetml/2006/main" count="44" uniqueCount="41">
  <si>
    <t>ID</t>
  </si>
  <si>
    <t>Título</t>
  </si>
  <si>
    <t>Descripción</t>
  </si>
  <si>
    <t>Estado</t>
  </si>
  <si>
    <t>Prioridad</t>
  </si>
  <si>
    <t>Asignado a</t>
  </si>
  <si>
    <t>Fecha Inicio</t>
  </si>
  <si>
    <t>Fecha Fin</t>
  </si>
  <si>
    <t>Progreso (%)</t>
  </si>
  <si>
    <t>Categoría</t>
  </si>
  <si>
    <t>Etiquetas</t>
  </si>
  <si>
    <t>Notas</t>
  </si>
  <si>
    <t>Configurar servidor</t>
  </si>
  <si>
    <t>Instalar y configurar servidor de producción</t>
  </si>
  <si>
    <t>En Progreso</t>
  </si>
  <si>
    <t>Alta</t>
  </si>
  <si>
    <t>Juan Pérez</t>
  </si>
  <si>
    <t>Infraestructura</t>
  </si>
  <si>
    <t>servidor, DevOps</t>
  </si>
  <si>
    <t>Requiere acceso VPN</t>
  </si>
  <si>
    <t>Diseño UI/UX</t>
  </si>
  <si>
    <t>Crear mockups de la interfaz principal</t>
  </si>
  <si>
    <t>Pendiente</t>
  </si>
  <si>
    <t>Media</t>
  </si>
  <si>
    <t>María González</t>
  </si>
  <si>
    <t>Diseño</t>
  </si>
  <si>
    <t>UI, diseño</t>
  </si>
  <si>
    <t>Usar paleta de colores corporativa</t>
  </si>
  <si>
    <t>Implementar API REST</t>
  </si>
  <si>
    <t>Desarrollar endpoints para módulo de usuarios</t>
  </si>
  <si>
    <t>Completada</t>
  </si>
  <si>
    <t>Carlos López</t>
  </si>
  <si>
    <t>Desarrollo</t>
  </si>
  <si>
    <t>backend, API</t>
  </si>
  <si>
    <t>Incluye autenticación JWT</t>
  </si>
  <si>
    <t>PANEL DE CONTROL - SEGUIMIENTO DE TAREAS</t>
  </si>
  <si>
    <t>Cantidad</t>
  </si>
  <si>
    <t>Pendientes</t>
  </si>
  <si>
    <t>Completadas</t>
  </si>
  <si>
    <t>Canceladas</t>
  </si>
  <si>
    <t>Total de Tareas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</si>
</sst>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0&quot;%&quot;"/>
  </numFmts>
  <fonts count="6" x14ac:knownFonts="1">
    <font>
      <color theme="1"/>
      <family val="2"/>
      <scheme val="minor"/>
      <sz val="11"/>
      <name val="Calibri"/>
    </font>
    <font>
      <b/>
      <color rgb="FFFFFFFF"/>
      <sz val="12"/>
    </font>
    <font>
      <b/>
      <color rgb="FFFF0000"/>
    </font>
    <font>
      <color rgb="FFFF8C00"/>
    </font>
    <font>
      <b/>
      <color rgb="FF4472C4"/>
      <sz val="16"/>
    </font>
    <font>
      <b/>
    </font>
  </fonts>
  <fills count="6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FC000"/>
      </patternFill>
    </fill>
    <fill>
      <patternFill patternType="solid">
        <fgColor rgb="FFFF6B6B"/>
      </patternFill>
    </fill>
    <fill>
      <patternFill patternType="solid">
        <fgColor rgb="FF92D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3" borderId="0" xfId="0" applyFill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0" fillId="4" borderId="0" xfId="0" applyFill="1"/>
    <xf numFmtId="0" fontId="3" fillId="0" borderId="0" xfId="0" applyFont="1"/>
    <xf numFmtId="0" fontId="0" fillId="5" borderId="0" xfId="0" applyFill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"/>
  <sheetFormatPr defaultRowHeight="15" outlineLevelRow="0" outlineLevelCol="0" x14ac:dyDescent="55"/>
  <cols>
    <col min="1" max="1" width="8" customWidth="1"/>
    <col min="2" max="2" width="30" customWidth="1"/>
    <col min="3" max="3" width="50" customWidth="1"/>
    <col min="4" max="4" width="15" customWidth="1"/>
    <col min="5" max="5" width="12" customWidth="1"/>
    <col min="6" max="6" width="20" customWidth="1"/>
    <col min="7" max="8" width="15" customWidth="1"/>
    <col min="9" max="9" width="12" customWidth="1"/>
    <col min="10" max="10" width="15" customWidth="1"/>
    <col min="11" max="11" width="20" customWidth="1"/>
    <col min="12" max="12" width="40" customWidth="1"/>
  </cols>
  <sheetData>
    <row r="1" spans="1:1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>
        <v>1</v>
      </c>
      <c r="B2" t="s">
        <v>12</v>
      </c>
      <c r="C2" t="s">
        <v>13</v>
      </c>
      <c r="D2" s="2" t="s">
        <v>14</v>
      </c>
      <c r="E2" s="3" t="s">
        <v>15</v>
      </c>
      <c r="F2" t="s">
        <v>16</v>
      </c>
      <c r="G2" s="4">
        <v>45950</v>
      </c>
      <c r="H2" s="4">
        <v>45955</v>
      </c>
      <c r="I2" s="5">
        <v>60</v>
      </c>
      <c r="J2" t="s">
        <v>17</v>
      </c>
      <c r="K2" t="s">
        <v>18</v>
      </c>
      <c r="L2" t="s">
        <v>19</v>
      </c>
    </row>
    <row r="3" spans="1:12" x14ac:dyDescent="0.25">
      <c r="A3">
        <v>2</v>
      </c>
      <c r="B3" t="s">
        <v>20</v>
      </c>
      <c r="C3" t="s">
        <v>21</v>
      </c>
      <c r="D3" s="6" t="s">
        <v>22</v>
      </c>
      <c r="E3" s="7" t="s">
        <v>23</v>
      </c>
      <c r="F3" t="s">
        <v>24</v>
      </c>
      <c r="G3" s="4">
        <v>45952</v>
      </c>
      <c r="H3" s="4">
        <v>45960</v>
      </c>
      <c r="I3" s="5">
        <v>0</v>
      </c>
      <c r="J3" t="s">
        <v>25</v>
      </c>
      <c r="K3" t="s">
        <v>26</v>
      </c>
      <c r="L3" t="s">
        <v>27</v>
      </c>
    </row>
    <row r="4" spans="1:12" x14ac:dyDescent="0.25">
      <c r="A4">
        <v>3</v>
      </c>
      <c r="B4" t="s">
        <v>28</v>
      </c>
      <c r="C4" t="s">
        <v>29</v>
      </c>
      <c r="D4" s="8" t="s">
        <v>30</v>
      </c>
      <c r="E4" s="3" t="s">
        <v>15</v>
      </c>
      <c r="F4" t="s">
        <v>31</v>
      </c>
      <c r="G4" s="4">
        <v>45945</v>
      </c>
      <c r="H4" s="4">
        <v>45950</v>
      </c>
      <c r="I4" s="5">
        <v>100</v>
      </c>
      <c r="J4" t="s">
        <v>32</v>
      </c>
      <c r="K4" t="s">
        <v>33</v>
      </c>
      <c r="L4" t="s">
        <v>34</v>
      </c>
    </row>
  </sheetData>
  <dataValidations count="2">
    <dataValidation type="list" sqref="D2:D4">
      <formula1>"Pendiente,En Progreso,Completada,Cancelada"</formula1>
    </dataValidation>
    <dataValidation type="list" sqref="E2:E4">
      <formula1>"Baja,Media,Alta,Urgente"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FormatPr defaultRowHeight="15" outlineLevelRow="0" outlineLevelCol="0" x14ac:dyDescent="55"/>
  <cols>
    <col min="1" max="1" width="20" customWidth="1"/>
    <col min="2" max="2" width="15" customWidth="1"/>
  </cols>
  <sheetData>
    <row r="1" spans="1:4" x14ac:dyDescent="0.25">
      <c r="A1" s="9" t="s">
        <v>35</v>
      </c>
      <c r="B1" s="9"/>
      <c r="C1" s="9"/>
      <c r="D1" s="9"/>
    </row>
    <row r="3" spans="1:2" s="10" customFormat="1" x14ac:dyDescent="0.25">
      <c r="A3" s="10" t="s">
        <v>3</v>
      </c>
      <c r="B3" s="10" t="s">
        <v>36</v>
      </c>
    </row>
    <row r="4" spans="1:2" x14ac:dyDescent="0.25">
      <c r="A4" t="s">
        <v>37</v>
      </c>
      <c r="B4">
        <f>COUNTIF(Tareas!D:D,"Pendiente")</f>
      </c>
    </row>
    <row r="5" spans="1:2" x14ac:dyDescent="0.25">
      <c r="A5" t="s">
        <v>14</v>
      </c>
      <c r="B5">
        <f>COUNTIF(Tareas!D:D,"En Progreso")</f>
      </c>
    </row>
    <row r="6" spans="1:2" x14ac:dyDescent="0.25">
      <c r="A6" t="s">
        <v>38</v>
      </c>
      <c r="B6">
        <f>COUNTIF(Tareas!D:D,"Completada")</f>
      </c>
    </row>
    <row r="7" spans="1:2" x14ac:dyDescent="0.25">
      <c r="A7" t="s">
        <v>39</v>
      </c>
      <c r="B7">
        <f>COUNTIF(Tareas!D:D,"Cancelada")</f>
      </c>
    </row>
    <row r="9" spans="1:2" x14ac:dyDescent="0.25">
      <c r="A9" s="10" t="s">
        <v>40</v>
      </c>
      <c r="B9" s="10">
        <f>COUNTA(Tareas!A:A)-1</f>
      </c>
    </row>
  </sheetData>
  <mergeCells count="1">
    <mergeCell ref="A1:D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Tareas</vt:lpstr>
      <vt:lpstr>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2025-10-22T21:29:35Z</dcterms:created>
  <dcterms:modified xsi:type="dcterms:W3CDTF">2025-10-22T21:29:35Z</dcterms:modified>
</cp:coreProperties>
</file>